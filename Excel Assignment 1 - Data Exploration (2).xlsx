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460D8FE-C829-482F-876B-F5525A76A4E3}" xr6:coauthVersionLast="41" xr6:coauthVersionMax="41" xr10:uidLastSave="{00000000-0000-0000-0000-000000000000}"/>
  <bookViews>
    <workbookView xWindow="-120" yWindow="-120" windowWidth="20730" windowHeight="11040" activeTab="1" xr2:uid="{00000000-000D-0000-FFFF-FFFF00000000}"/>
  </bookViews>
  <sheets>
    <sheet name="Dataset" sheetId="1" r:id="rId1"/>
    <sheet name="cleaned data" sheetId="2" r:id="rId2"/>
  </sheets>
  <definedNames>
    <definedName name="_xlnm._FilterDatabase" localSheetId="1" hidden="1">'cleaned data'!$A$1:$J$35</definedName>
  </definedNames>
  <calcPr calcId="191029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C39" i="2"/>
  <c r="C40" i="2"/>
  <c r="C41" i="2"/>
  <c r="C42" i="2"/>
  <c r="C43" i="2"/>
  <c r="C44" i="2"/>
  <c r="C38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J2" i="2"/>
  <c r="I2" i="2"/>
  <c r="H2" i="2"/>
  <c r="G2" i="2"/>
</calcChain>
</file>

<file path=xl/sharedStrings.xml><?xml version="1.0" encoding="utf-8"?>
<sst xmlns="http://schemas.openxmlformats.org/spreadsheetml/2006/main" count="303" uniqueCount="112">
  <si>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</si>
  <si>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</si>
  <si>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</si>
  <si>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</si>
  <si>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</si>
  <si>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</si>
  <si>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</si>
  <si>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</si>
  <si>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</si>
  <si>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</si>
  <si>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</si>
  <si>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</si>
  <si>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</si>
  <si>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</si>
  <si>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</si>
  <si>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</si>
  <si>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</si>
  <si>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</si>
  <si>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</si>
  <si>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</si>
  <si>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</si>
  <si>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</si>
  <si>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</si>
  <si>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</si>
  <si>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</si>
  <si>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</si>
  <si>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</si>
  <si>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</si>
  <si>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</si>
  <si>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</si>
  <si>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</si>
  <si>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</si>
  <si>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</si>
  <si>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</si>
  <si>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</si>
  <si>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</si>
  <si>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</si>
  <si>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</si>
  <si>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</si>
  <si>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</si>
  <si>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</si>
  <si>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</si>
  <si>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</si>
  <si>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</si>
  <si>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</si>
  <si>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</si>
  <si>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</si>
  <si>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</si>
  <si>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</si>
  <si>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</si>
  <si>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</si>
  <si>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</si>
  <si>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</si>
  <si>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</si>
  <si>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</si>
  <si>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</si>
  <si>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</si>
  <si>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</si>
  <si>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</si>
  <si>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</si>
  <si>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</si>
  <si>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</si>
  <si>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</si>
  <si>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</si>
  <si>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</si>
  <si>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</si>
  <si>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</si>
  <si>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</si>
  <si>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</si>
  <si>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</si>
  <si>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</si>
  <si>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</si>
  <si>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</si>
  <si>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</si>
  <si>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</si>
  <si>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</si>
  <si>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</si>
  <si>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</si>
  <si>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</si>
  <si>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</si>
  <si>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</si>
  <si>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</si>
  <si>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</si>
  <si>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</si>
  <si>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</si>
  <si>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</si>
  <si>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</si>
  <si>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</si>
  <si>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</si>
  <si>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</si>
  <si>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</si>
  <si>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</si>
  <si>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</si>
  <si>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</si>
  <si>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Country Code</t>
  </si>
  <si>
    <t>Month</t>
  </si>
  <si>
    <t>Day</t>
  </si>
  <si>
    <t xml:space="preserve">Total Price of Products </t>
  </si>
  <si>
    <t xml:space="preserve">Average price </t>
  </si>
  <si>
    <t>total Counts of Products</t>
  </si>
  <si>
    <t>Minimum Price</t>
  </si>
  <si>
    <t>Maximum Price</t>
  </si>
  <si>
    <t>Electronics Total Price</t>
  </si>
  <si>
    <t>Total Products Under &lt;100</t>
  </si>
  <si>
    <t>PERFORMED STEPS</t>
  </si>
  <si>
    <t>01. Use sum if count counta formulas for find the total products count and totals.</t>
  </si>
  <si>
    <t xml:space="preserve">02. Apply if conditions for calculate under&lt;100 products in the list </t>
  </si>
  <si>
    <t>03. Create new 4 colums name of 1) price range 2)country code 3)day and 4)month</t>
  </si>
  <si>
    <t xml:space="preserve">04. using filter option for convert complete table </t>
  </si>
  <si>
    <t>05. Apply border for all colum and rows for looking neat and good</t>
  </si>
  <si>
    <t xml:space="preserve">06. Use if functions like sumif,countif and also used mid, left, rifgt functions </t>
  </si>
  <si>
    <t>07. Use fill colou for option for headings.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</si>
</sst>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i/>
      <sz val="11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2" fillId="0" borderId="0" xfId="0" applyFont="1" applyAlignment="1"/>
    <xf numFmtId="0" fontId="0" fillId="0" borderId="0" xfId="0" applyFont="1" applyBorder="1" applyAlignment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  <xf numFmtId="0" fontId="3" fillId="0" borderId="0" xfId="0" applyFont="1" applyAlignment="1">
      <alignment vertical="top"/>
    </xf>
    <xf numFmtId="0" fontId="4" fillId="0" borderId="0" xfId="0" applyFont="1" applyAlignment="1"/>
    <xf numFmtId="0" fontId="4" fillId="0" borderId="0" xfId="0" applyFont="1" applyBorder="1" applyAlignment="1"/>
    <xf numFmtId="0" fontId="0" fillId="0" borderId="0" xfId="0" applyFont="1" applyAlignment="1">
      <alignment wrapText="1"/>
    </xf>
    <xf numFmtId="0" fontId="4" fillId="0" borderId="8" xfId="0" applyFont="1" applyBorder="1" applyAlignment="1"/>
    <xf numFmtId="0" fontId="4" fillId="0" borderId="9" xfId="0" applyFont="1" applyBorder="1" applyAlignment="1"/>
    <xf numFmtId="0" fontId="4" fillId="0" borderId="4" xfId="0" applyFont="1" applyBorder="1" applyAlignment="1"/>
    <xf numFmtId="0" fontId="4" fillId="0" borderId="1" xfId="0" applyFont="1" applyBorder="1" applyAlignment="1"/>
    <xf numFmtId="0" fontId="4" fillId="0" borderId="3" xfId="0" applyFont="1" applyBorder="1" applyAlignment="1"/>
    <xf numFmtId="0" fontId="4" fillId="0" borderId="8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0" fontId="0" fillId="5" borderId="0" xfId="0" applyFont="1" applyFill="1" applyBorder="1" applyAlignment="1">
      <alignment horizontal="center"/>
    </xf>
    <xf numFmtId="164" fontId="0" fillId="5" borderId="0" xfId="0" applyNumberFormat="1" applyFont="1" applyFill="1" applyBorder="1" applyAlignment="1">
      <alignment horizontal="center"/>
    </xf>
    <xf numFmtId="0" fontId="0" fillId="0" borderId="6" xfId="0" applyFont="1" applyBorder="1" applyAlignment="1"/>
    <xf numFmtId="0" fontId="3" fillId="0" borderId="7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7" xfId="0" applyFont="1" applyBorder="1" applyAlignment="1"/>
    <xf numFmtId="0" fontId="0" fillId="0" borderId="5" xfId="0" applyFont="1" applyBorder="1" applyAlignment="1"/>
    <xf numFmtId="0" fontId="6" fillId="0" borderId="0" xfId="0" applyFont="1" applyAlignment="1"/>
    <xf numFmtId="0" fontId="6" fillId="0" borderId="8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361950</xdr:colOff>
      <xdr:row>38</xdr:row>
      <xdr:rowOff>114300</xdr:rowOff>
    </xdr:from>
    <xdr:ext cx="184731" cy="2545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7191A9-0CD1-4869-B135-E5501C0B2036}"/>
            </a:ext>
          </a:extLst>
        </xdr:cNvPr>
        <xdr:cNvSpPr txBox="1"/>
      </xdr:nvSpPr>
      <xdr:spPr>
        <a:xfrm>
          <a:off x="10296525" y="62674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77C7B-3BA5-4AD1-88C6-B0EFCDD0D642}" name="Table1" displayName="Table1" ref="A1:J35" totalsRowShown="0">
  <autoFilter ref="A1:J35" xr:uid="{373D8446-2ADD-4320-9169-3FBFE1A3A44F}"/>
  <tableColumns count="10">
    <tableColumn id="1" xr3:uid="{713F4C40-9445-441B-90B8-1CA4E0032CBF}" name="Product ID"/>
    <tableColumn id="2" xr3:uid="{8769038B-411F-40DA-BCAD-40E0D5D627DF}" name="Product Name"/>
    <tableColumn id="3" xr3:uid="{62176102-0886-411C-8778-F9CB1B569D58}" name="Brand Name"/>
    <tableColumn id="4" xr3:uid="{DB0AF4BB-E9A4-4A7E-A342-1B89D5938C11}" name="Price ($)"/>
    <tableColumn id="5" xr3:uid="{A30E99F1-1FB7-498E-A551-77198F09A70A}" name="Quantity"/>
    <tableColumn id="6" xr3:uid="{48A54731-E6D4-4401-A5ED-460E98C4AC2D}" name="Category"/>
    <tableColumn id="7" xr3:uid="{FD3A1A1E-4876-4ED9-BDF2-E2AEB0569DA1}" name="Price Range">
      <calculatedColumnFormula>IF(D2&gt;=500, "High Price", "Standard Price")</calculatedColumnFormula>
    </tableColumn>
    <tableColumn id="8" xr3:uid="{45226412-ED09-4898-8A33-54849965F448}" name="Day">
      <calculatedColumnFormula>LEFT(A2,  2)</calculatedColumnFormula>
    </tableColumn>
    <tableColumn id="9" xr3:uid="{AC5213EF-E28A-40CD-8F1A-51EEA946E363}" name="Country Code">
      <calculatedColumnFormula>RIGHT(A2, 2)</calculatedColumnFormula>
    </tableColumn>
    <tableColumn id="10" xr3:uid="{AE8F0295-D9F3-48CA-911A-085F1F1487E2}" name="Month">
      <calculatedColumnFormula>MID(A2,  4,   3)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opLeftCell="A15" workbookViewId="0">
      <selection sqref="A1:F35"/>
    </sheetView>
  </sheetViews>
  <sheetFormatPr defaultColWidth="12.5703125" defaultRowHeight="15" customHeight="1" x14ac:dyDescent="0.2"/>
  <cols>
    <col min="2" max="2" width="14.1406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DC34-BE4C-4F8D-9852-64EFB2AE03F1}">
  <dimension ref="A1:L48"/>
  <sheetViews>
    <sheetView tabSelected="1" workbookViewId="0">
      <selection activeCell="K1" sqref="K1"/>
    </sheetView>
  </sheetViews>
  <sheetFormatPr defaultRowHeight="12.75" x14ac:dyDescent="0.2"/>
  <cols>
    <col min="1" max="1" width="15.7109375" customWidth="1"/>
    <col min="2" max="2" width="19.42578125" customWidth="1"/>
    <col min="3" max="3" width="16.28515625" customWidth="1"/>
    <col min="4" max="4" width="15" customWidth="1"/>
    <col min="5" max="5" width="12" customWidth="1"/>
    <col min="6" max="6" width="16.140625" customWidth="1"/>
    <col min="7" max="7" width="16" customWidth="1"/>
    <col min="9" max="9" width="17.5703125" customWidth="1"/>
    <col min="10" max="10" width="11.7109375" customWidth="1"/>
  </cols>
  <sheetData>
    <row r="1" spans="1:10" ht="14.25" x14ac:dyDescent="0.2">
      <c r="A1" s="38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7" t="s">
        <v>93</v>
      </c>
      <c r="H1" s="26" t="s">
        <v>96</v>
      </c>
      <c r="I1" s="26" t="s">
        <v>94</v>
      </c>
      <c r="J1" s="26" t="s">
        <v>95</v>
      </c>
    </row>
    <row r="2" spans="1:10" ht="14.25" x14ac:dyDescent="0.2">
      <c r="A2" s="9" t="s">
        <v>6</v>
      </c>
      <c r="B2" s="39" t="s">
        <v>7</v>
      </c>
      <c r="C2" s="40" t="s">
        <v>8</v>
      </c>
      <c r="D2" s="8">
        <v>1000</v>
      </c>
      <c r="E2" s="10">
        <v>30</v>
      </c>
      <c r="F2" s="40" t="s">
        <v>9</v>
      </c>
      <c r="G2" s="41" t="str">
        <f>IF(D2&gt;=500, "High Price", "Standard Price")</f>
        <v>High Price</v>
      </c>
      <c r="H2" s="8" t="str">
        <f>LEFT(A2,  2)</f>
        <v>28</v>
      </c>
      <c r="I2" s="8" t="str">
        <f>RIGHT(A2, 2)</f>
        <v>US</v>
      </c>
      <c r="J2" s="11" t="str">
        <f>MID(A2,  4,   3)</f>
        <v>JAN</v>
      </c>
    </row>
    <row r="3" spans="1:10" ht="14.25" x14ac:dyDescent="0.2">
      <c r="A3" s="9" t="s">
        <v>10</v>
      </c>
      <c r="B3" s="39" t="s">
        <v>11</v>
      </c>
      <c r="C3" s="40" t="s">
        <v>12</v>
      </c>
      <c r="D3" s="8">
        <v>80</v>
      </c>
      <c r="E3" s="10">
        <v>15</v>
      </c>
      <c r="F3" s="40" t="s">
        <v>13</v>
      </c>
      <c r="G3" s="41" t="str">
        <f t="shared" ref="G3:G35" si="0">IF(D3&gt;=500, "High Price", "Standard Price")</f>
        <v>Standard Price</v>
      </c>
      <c r="H3" s="8" t="str">
        <f t="shared" ref="H3:H35" si="1">LEFT(A3,  2)</f>
        <v>15</v>
      </c>
      <c r="I3" s="8" t="str">
        <f t="shared" ref="I3:I35" si="2">RIGHT(A3, 2)</f>
        <v>US</v>
      </c>
      <c r="J3" s="11" t="str">
        <f t="shared" ref="J3:J35" si="3">MID(A3,  4,   3)</f>
        <v>FEB</v>
      </c>
    </row>
    <row r="4" spans="1:10" ht="14.25" x14ac:dyDescent="0.2">
      <c r="A4" s="9" t="s">
        <v>14</v>
      </c>
      <c r="B4" s="39" t="s">
        <v>15</v>
      </c>
      <c r="C4" s="40" t="s">
        <v>16</v>
      </c>
      <c r="D4" s="8">
        <v>130</v>
      </c>
      <c r="E4" s="10">
        <v>40</v>
      </c>
      <c r="F4" s="40" t="s">
        <v>17</v>
      </c>
      <c r="G4" s="41" t="str">
        <f t="shared" si="0"/>
        <v>Standard Price</v>
      </c>
      <c r="H4" s="8" t="str">
        <f t="shared" si="1"/>
        <v>03</v>
      </c>
      <c r="I4" s="8" t="str">
        <f t="shared" si="2"/>
        <v>US</v>
      </c>
      <c r="J4" s="11" t="str">
        <f t="shared" si="3"/>
        <v>MAR</v>
      </c>
    </row>
    <row r="5" spans="1:10" ht="14.25" x14ac:dyDescent="0.2">
      <c r="A5" s="9" t="s">
        <v>18</v>
      </c>
      <c r="B5" s="39" t="s">
        <v>19</v>
      </c>
      <c r="C5" s="40" t="s">
        <v>20</v>
      </c>
      <c r="D5" s="8">
        <v>900</v>
      </c>
      <c r="E5" s="10">
        <v>25</v>
      </c>
      <c r="F5" s="40" t="s">
        <v>9</v>
      </c>
      <c r="G5" s="41" t="str">
        <f t="shared" si="0"/>
        <v>High Price</v>
      </c>
      <c r="H5" s="8" t="str">
        <f t="shared" si="1"/>
        <v>11</v>
      </c>
      <c r="I5" s="8" t="str">
        <f t="shared" si="2"/>
        <v>US</v>
      </c>
      <c r="J5" s="11" t="str">
        <f t="shared" si="3"/>
        <v>APR</v>
      </c>
    </row>
    <row r="6" spans="1:10" ht="14.25" x14ac:dyDescent="0.2">
      <c r="A6" s="9" t="s">
        <v>21</v>
      </c>
      <c r="B6" s="39" t="s">
        <v>22</v>
      </c>
      <c r="C6" s="40" t="s">
        <v>23</v>
      </c>
      <c r="D6" s="8">
        <v>70</v>
      </c>
      <c r="E6" s="10">
        <v>20</v>
      </c>
      <c r="F6" s="40" t="s">
        <v>24</v>
      </c>
      <c r="G6" s="41" t="str">
        <f t="shared" si="0"/>
        <v>Standard Price</v>
      </c>
      <c r="H6" s="8" t="str">
        <f t="shared" si="1"/>
        <v>22</v>
      </c>
      <c r="I6" s="8" t="str">
        <f t="shared" si="2"/>
        <v>US</v>
      </c>
      <c r="J6" s="11" t="str">
        <f t="shared" si="3"/>
        <v>MAY</v>
      </c>
    </row>
    <row r="7" spans="1:10" ht="14.25" x14ac:dyDescent="0.2">
      <c r="A7" s="9" t="s">
        <v>25</v>
      </c>
      <c r="B7" s="39" t="s">
        <v>26</v>
      </c>
      <c r="C7" s="40" t="s">
        <v>27</v>
      </c>
      <c r="D7" s="8">
        <v>200</v>
      </c>
      <c r="E7" s="10">
        <v>45</v>
      </c>
      <c r="F7" s="40" t="s">
        <v>9</v>
      </c>
      <c r="G7" s="41" t="str">
        <f t="shared" si="0"/>
        <v>Standard Price</v>
      </c>
      <c r="H7" s="8" t="str">
        <f t="shared" si="1"/>
        <v>07</v>
      </c>
      <c r="I7" s="8" t="str">
        <f t="shared" si="2"/>
        <v>UK</v>
      </c>
      <c r="J7" s="11" t="str">
        <f t="shared" si="3"/>
        <v>JUN</v>
      </c>
    </row>
    <row r="8" spans="1:10" ht="14.25" x14ac:dyDescent="0.2">
      <c r="A8" s="9" t="s">
        <v>28</v>
      </c>
      <c r="B8" s="39" t="s">
        <v>29</v>
      </c>
      <c r="C8" s="40" t="s">
        <v>30</v>
      </c>
      <c r="D8" s="8">
        <v>30</v>
      </c>
      <c r="E8" s="10">
        <v>5</v>
      </c>
      <c r="F8" s="40" t="s">
        <v>13</v>
      </c>
      <c r="G8" s="41" t="str">
        <f t="shared" si="0"/>
        <v>Standard Price</v>
      </c>
      <c r="H8" s="8" t="str">
        <f t="shared" si="1"/>
        <v>19</v>
      </c>
      <c r="I8" s="8" t="str">
        <f t="shared" si="2"/>
        <v>UK</v>
      </c>
      <c r="J8" s="11" t="str">
        <f t="shared" si="3"/>
        <v>JUL</v>
      </c>
    </row>
    <row r="9" spans="1:10" ht="14.25" x14ac:dyDescent="0.2">
      <c r="A9" s="9" t="s">
        <v>31</v>
      </c>
      <c r="B9" s="39" t="s">
        <v>32</v>
      </c>
      <c r="C9" s="40" t="s">
        <v>33</v>
      </c>
      <c r="D9" s="8">
        <v>90</v>
      </c>
      <c r="E9" s="10">
        <v>35</v>
      </c>
      <c r="F9" s="40" t="s">
        <v>17</v>
      </c>
      <c r="G9" s="41" t="str">
        <f t="shared" si="0"/>
        <v>Standard Price</v>
      </c>
      <c r="H9" s="8" t="str">
        <f t="shared" si="1"/>
        <v>23</v>
      </c>
      <c r="I9" s="8" t="str">
        <f t="shared" si="2"/>
        <v>UK</v>
      </c>
      <c r="J9" s="11" t="str">
        <f t="shared" si="3"/>
        <v>AUG</v>
      </c>
    </row>
    <row r="10" spans="1:10" ht="14.25" x14ac:dyDescent="0.2">
      <c r="A10" s="9" t="s">
        <v>34</v>
      </c>
      <c r="B10" s="39" t="s">
        <v>35</v>
      </c>
      <c r="C10" s="40" t="s">
        <v>36</v>
      </c>
      <c r="D10" s="8">
        <v>500</v>
      </c>
      <c r="E10" s="10">
        <v>50</v>
      </c>
      <c r="F10" s="40" t="s">
        <v>9</v>
      </c>
      <c r="G10" s="41" t="str">
        <f t="shared" si="0"/>
        <v>High Price</v>
      </c>
      <c r="H10" s="8" t="str">
        <f t="shared" si="1"/>
        <v>05</v>
      </c>
      <c r="I10" s="8" t="str">
        <f t="shared" si="2"/>
        <v>UK</v>
      </c>
      <c r="J10" s="11" t="str">
        <f t="shared" si="3"/>
        <v>SEP</v>
      </c>
    </row>
    <row r="11" spans="1:10" ht="14.25" x14ac:dyDescent="0.2">
      <c r="A11" s="9" t="s">
        <v>37</v>
      </c>
      <c r="B11" s="39" t="s">
        <v>38</v>
      </c>
      <c r="C11" s="40" t="s">
        <v>39</v>
      </c>
      <c r="D11" s="8">
        <v>130</v>
      </c>
      <c r="E11" s="10">
        <v>10</v>
      </c>
      <c r="F11" s="40" t="s">
        <v>24</v>
      </c>
      <c r="G11" s="41" t="str">
        <f t="shared" si="0"/>
        <v>Standard Price</v>
      </c>
      <c r="H11" s="8" t="str">
        <f t="shared" si="1"/>
        <v>14</v>
      </c>
      <c r="I11" s="8" t="str">
        <f t="shared" si="2"/>
        <v>UK</v>
      </c>
      <c r="J11" s="11" t="str">
        <f t="shared" si="3"/>
        <v>OCT</v>
      </c>
    </row>
    <row r="12" spans="1:10" ht="14.25" x14ac:dyDescent="0.2">
      <c r="A12" s="9" t="s">
        <v>40</v>
      </c>
      <c r="B12" s="39" t="s">
        <v>7</v>
      </c>
      <c r="C12" s="40" t="s">
        <v>41</v>
      </c>
      <c r="D12" s="8">
        <v>950</v>
      </c>
      <c r="E12" s="10">
        <v>25</v>
      </c>
      <c r="F12" s="40" t="s">
        <v>9</v>
      </c>
      <c r="G12" s="41" t="str">
        <f t="shared" si="0"/>
        <v>High Price</v>
      </c>
      <c r="H12" s="8" t="str">
        <f t="shared" si="1"/>
        <v>17</v>
      </c>
      <c r="I12" s="8" t="str">
        <f t="shared" si="2"/>
        <v>IN</v>
      </c>
      <c r="J12" s="11" t="str">
        <f t="shared" si="3"/>
        <v>JUN</v>
      </c>
    </row>
    <row r="13" spans="1:10" ht="14.25" x14ac:dyDescent="0.2">
      <c r="A13" s="9" t="s">
        <v>42</v>
      </c>
      <c r="B13" s="39" t="s">
        <v>11</v>
      </c>
      <c r="C13" s="40" t="s">
        <v>30</v>
      </c>
      <c r="D13" s="8">
        <v>90</v>
      </c>
      <c r="E13" s="10">
        <v>40</v>
      </c>
      <c r="F13" s="40" t="s">
        <v>13</v>
      </c>
      <c r="G13" s="41" t="str">
        <f t="shared" si="0"/>
        <v>Standard Price</v>
      </c>
      <c r="H13" s="8" t="str">
        <f t="shared" si="1"/>
        <v>25</v>
      </c>
      <c r="I13" s="8" t="str">
        <f t="shared" si="2"/>
        <v>AU</v>
      </c>
      <c r="J13" s="11" t="str">
        <f t="shared" si="3"/>
        <v>NOV</v>
      </c>
    </row>
    <row r="14" spans="1:10" ht="14.25" x14ac:dyDescent="0.2">
      <c r="A14" s="9" t="s">
        <v>43</v>
      </c>
      <c r="B14" s="39" t="s">
        <v>15</v>
      </c>
      <c r="C14" s="40" t="s">
        <v>44</v>
      </c>
      <c r="D14" s="8">
        <v>120</v>
      </c>
      <c r="E14" s="10">
        <v>35</v>
      </c>
      <c r="F14" s="40" t="s">
        <v>17</v>
      </c>
      <c r="G14" s="41" t="str">
        <f t="shared" si="0"/>
        <v>Standard Price</v>
      </c>
      <c r="H14" s="8" t="str">
        <f t="shared" si="1"/>
        <v>08</v>
      </c>
      <c r="I14" s="8" t="str">
        <f t="shared" si="2"/>
        <v>DE</v>
      </c>
      <c r="J14" s="11" t="str">
        <f t="shared" si="3"/>
        <v>DEC</v>
      </c>
    </row>
    <row r="15" spans="1:10" ht="14.25" x14ac:dyDescent="0.2">
      <c r="A15" s="9" t="s">
        <v>45</v>
      </c>
      <c r="B15" s="39" t="s">
        <v>46</v>
      </c>
      <c r="C15" s="40" t="s">
        <v>47</v>
      </c>
      <c r="D15" s="8">
        <v>150</v>
      </c>
      <c r="E15" s="10">
        <v>15</v>
      </c>
      <c r="F15" s="40" t="s">
        <v>9</v>
      </c>
      <c r="G15" s="41" t="str">
        <f t="shared" si="0"/>
        <v>Standard Price</v>
      </c>
      <c r="H15" s="8" t="str">
        <f t="shared" si="1"/>
        <v>18</v>
      </c>
      <c r="I15" s="8" t="str">
        <f t="shared" si="2"/>
        <v>CA</v>
      </c>
      <c r="J15" s="11" t="str">
        <f t="shared" si="3"/>
        <v>FEB</v>
      </c>
    </row>
    <row r="16" spans="1:10" ht="14.25" x14ac:dyDescent="0.2">
      <c r="A16" s="9" t="s">
        <v>48</v>
      </c>
      <c r="B16" s="39" t="s">
        <v>26</v>
      </c>
      <c r="C16" s="40" t="s">
        <v>49</v>
      </c>
      <c r="D16" s="8">
        <v>250</v>
      </c>
      <c r="E16" s="10">
        <v>20</v>
      </c>
      <c r="F16" s="40" t="s">
        <v>9</v>
      </c>
      <c r="G16" s="41" t="str">
        <f t="shared" si="0"/>
        <v>Standard Price</v>
      </c>
      <c r="H16" s="8" t="str">
        <f t="shared" si="1"/>
        <v>16</v>
      </c>
      <c r="I16" s="8" t="str">
        <f t="shared" si="2"/>
        <v>ES</v>
      </c>
      <c r="J16" s="11" t="str">
        <f t="shared" si="3"/>
        <v>APR</v>
      </c>
    </row>
    <row r="17" spans="1:10" ht="14.25" x14ac:dyDescent="0.2">
      <c r="A17" s="9" t="s">
        <v>50</v>
      </c>
      <c r="B17" s="39" t="s">
        <v>51</v>
      </c>
      <c r="C17" s="40" t="s">
        <v>52</v>
      </c>
      <c r="D17" s="8">
        <v>50</v>
      </c>
      <c r="E17" s="10">
        <v>35</v>
      </c>
      <c r="F17" s="40" t="s">
        <v>53</v>
      </c>
      <c r="G17" s="41" t="str">
        <f t="shared" si="0"/>
        <v>Standard Price</v>
      </c>
      <c r="H17" s="8" t="str">
        <f t="shared" si="1"/>
        <v>21</v>
      </c>
      <c r="I17" s="8" t="str">
        <f t="shared" si="2"/>
        <v>CA</v>
      </c>
      <c r="J17" s="11" t="str">
        <f t="shared" si="3"/>
        <v>AUG</v>
      </c>
    </row>
    <row r="18" spans="1:10" ht="14.25" x14ac:dyDescent="0.2">
      <c r="A18" s="9" t="s">
        <v>54</v>
      </c>
      <c r="B18" s="39" t="s">
        <v>46</v>
      </c>
      <c r="C18" s="40" t="s">
        <v>55</v>
      </c>
      <c r="D18" s="8">
        <v>160</v>
      </c>
      <c r="E18" s="10">
        <v>15</v>
      </c>
      <c r="F18" s="40" t="s">
        <v>9</v>
      </c>
      <c r="G18" s="41" t="str">
        <f t="shared" si="0"/>
        <v>Standard Price</v>
      </c>
      <c r="H18" s="8" t="str">
        <f t="shared" si="1"/>
        <v>20</v>
      </c>
      <c r="I18" s="8" t="str">
        <f t="shared" si="2"/>
        <v>CN</v>
      </c>
      <c r="J18" s="11" t="str">
        <f t="shared" si="3"/>
        <v>AUG</v>
      </c>
    </row>
    <row r="19" spans="1:10" ht="14.25" x14ac:dyDescent="0.2">
      <c r="A19" s="9" t="s">
        <v>56</v>
      </c>
      <c r="B19" s="39" t="s">
        <v>7</v>
      </c>
      <c r="C19" s="40" t="s">
        <v>57</v>
      </c>
      <c r="D19" s="8">
        <v>980</v>
      </c>
      <c r="E19" s="10">
        <v>10</v>
      </c>
      <c r="F19" s="40" t="s">
        <v>9</v>
      </c>
      <c r="G19" s="41" t="str">
        <f t="shared" si="0"/>
        <v>High Price</v>
      </c>
      <c r="H19" s="8" t="str">
        <f t="shared" si="1"/>
        <v>27</v>
      </c>
      <c r="I19" s="8" t="str">
        <f t="shared" si="2"/>
        <v>IT</v>
      </c>
      <c r="J19" s="11" t="str">
        <f t="shared" si="3"/>
        <v>JAN</v>
      </c>
    </row>
    <row r="20" spans="1:10" ht="14.25" x14ac:dyDescent="0.2">
      <c r="A20" s="9" t="s">
        <v>58</v>
      </c>
      <c r="B20" s="39" t="s">
        <v>59</v>
      </c>
      <c r="C20" s="40" t="s">
        <v>60</v>
      </c>
      <c r="D20" s="8">
        <v>150</v>
      </c>
      <c r="E20" s="10">
        <v>15</v>
      </c>
      <c r="F20" s="40" t="s">
        <v>13</v>
      </c>
      <c r="G20" s="41" t="str">
        <f t="shared" si="0"/>
        <v>Standard Price</v>
      </c>
      <c r="H20" s="8" t="str">
        <f t="shared" si="1"/>
        <v>01</v>
      </c>
      <c r="I20" s="8" t="str">
        <f t="shared" si="2"/>
        <v>UK</v>
      </c>
      <c r="J20" s="11" t="str">
        <f t="shared" si="3"/>
        <v>MAR</v>
      </c>
    </row>
    <row r="21" spans="1:10" ht="14.25" x14ac:dyDescent="0.2">
      <c r="A21" s="9" t="s">
        <v>61</v>
      </c>
      <c r="B21" s="39" t="s">
        <v>62</v>
      </c>
      <c r="C21" s="40" t="s">
        <v>63</v>
      </c>
      <c r="D21" s="8">
        <v>200</v>
      </c>
      <c r="E21" s="10">
        <v>10</v>
      </c>
      <c r="F21" s="40" t="s">
        <v>24</v>
      </c>
      <c r="G21" s="41" t="str">
        <f t="shared" si="0"/>
        <v>Standard Price</v>
      </c>
      <c r="H21" s="8" t="str">
        <f t="shared" si="1"/>
        <v>14</v>
      </c>
      <c r="I21" s="8" t="str">
        <f t="shared" si="2"/>
        <v>US</v>
      </c>
      <c r="J21" s="11" t="str">
        <f t="shared" si="3"/>
        <v>AUG</v>
      </c>
    </row>
    <row r="22" spans="1:10" ht="14.25" x14ac:dyDescent="0.2">
      <c r="A22" s="9" t="s">
        <v>64</v>
      </c>
      <c r="B22" s="39" t="s">
        <v>65</v>
      </c>
      <c r="C22" s="40" t="s">
        <v>66</v>
      </c>
      <c r="D22" s="8">
        <v>700</v>
      </c>
      <c r="E22" s="10">
        <v>50</v>
      </c>
      <c r="F22" s="40" t="s">
        <v>9</v>
      </c>
      <c r="G22" s="41" t="str">
        <f t="shared" si="0"/>
        <v>High Price</v>
      </c>
      <c r="H22" s="8" t="str">
        <f t="shared" si="1"/>
        <v>14</v>
      </c>
      <c r="I22" s="8" t="str">
        <f t="shared" si="2"/>
        <v>RU</v>
      </c>
      <c r="J22" s="11" t="str">
        <f t="shared" si="3"/>
        <v>MAY</v>
      </c>
    </row>
    <row r="23" spans="1:10" ht="14.25" x14ac:dyDescent="0.2">
      <c r="A23" s="9" t="s">
        <v>67</v>
      </c>
      <c r="B23" s="39" t="s">
        <v>68</v>
      </c>
      <c r="C23" s="40" t="s">
        <v>69</v>
      </c>
      <c r="D23" s="8">
        <v>80</v>
      </c>
      <c r="E23" s="10">
        <v>20</v>
      </c>
      <c r="F23" s="40" t="s">
        <v>17</v>
      </c>
      <c r="G23" s="41" t="str">
        <f t="shared" si="0"/>
        <v>Standard Price</v>
      </c>
      <c r="H23" s="8" t="str">
        <f t="shared" si="1"/>
        <v>09</v>
      </c>
      <c r="I23" s="8" t="str">
        <f t="shared" si="2"/>
        <v>CA</v>
      </c>
      <c r="J23" s="11" t="str">
        <f t="shared" si="3"/>
        <v>JAN</v>
      </c>
    </row>
    <row r="24" spans="1:10" ht="14.25" x14ac:dyDescent="0.2">
      <c r="A24" s="9" t="s">
        <v>70</v>
      </c>
      <c r="B24" s="39" t="s">
        <v>71</v>
      </c>
      <c r="C24" s="40" t="s">
        <v>72</v>
      </c>
      <c r="D24" s="8">
        <v>150</v>
      </c>
      <c r="E24" s="10">
        <v>30</v>
      </c>
      <c r="F24" s="40" t="s">
        <v>9</v>
      </c>
      <c r="G24" s="41" t="str">
        <f t="shared" si="0"/>
        <v>Standard Price</v>
      </c>
      <c r="H24" s="8" t="str">
        <f t="shared" si="1"/>
        <v>19</v>
      </c>
      <c r="I24" s="8" t="str">
        <f t="shared" si="2"/>
        <v>BR</v>
      </c>
      <c r="J24" s="11" t="str">
        <f t="shared" si="3"/>
        <v>JUL</v>
      </c>
    </row>
    <row r="25" spans="1:10" ht="14.25" x14ac:dyDescent="0.2">
      <c r="A25" s="9" t="s">
        <v>50</v>
      </c>
      <c r="B25" s="39" t="s">
        <v>51</v>
      </c>
      <c r="C25" s="40" t="s">
        <v>52</v>
      </c>
      <c r="D25" s="8">
        <v>50</v>
      </c>
      <c r="E25" s="10">
        <v>35</v>
      </c>
      <c r="F25" s="40" t="s">
        <v>53</v>
      </c>
      <c r="G25" s="41" t="str">
        <f t="shared" si="0"/>
        <v>Standard Price</v>
      </c>
      <c r="H25" s="8" t="str">
        <f t="shared" si="1"/>
        <v>21</v>
      </c>
      <c r="I25" s="8" t="str">
        <f t="shared" si="2"/>
        <v>CA</v>
      </c>
      <c r="J25" s="11" t="str">
        <f t="shared" si="3"/>
        <v>AUG</v>
      </c>
    </row>
    <row r="26" spans="1:10" ht="14.25" x14ac:dyDescent="0.2">
      <c r="A26" s="9" t="s">
        <v>73</v>
      </c>
      <c r="B26" s="39" t="s">
        <v>19</v>
      </c>
      <c r="C26" s="40" t="s">
        <v>74</v>
      </c>
      <c r="D26" s="8">
        <v>800</v>
      </c>
      <c r="E26" s="10">
        <v>45</v>
      </c>
      <c r="F26" s="40" t="s">
        <v>9</v>
      </c>
      <c r="G26" s="41" t="str">
        <f t="shared" si="0"/>
        <v>High Price</v>
      </c>
      <c r="H26" s="8" t="str">
        <f t="shared" si="1"/>
        <v>29</v>
      </c>
      <c r="I26" s="8" t="str">
        <f t="shared" si="2"/>
        <v>CA</v>
      </c>
      <c r="J26" s="11" t="str">
        <f t="shared" si="3"/>
        <v>SEP</v>
      </c>
    </row>
    <row r="27" spans="1:10" ht="14.25" x14ac:dyDescent="0.2">
      <c r="A27" s="9" t="s">
        <v>75</v>
      </c>
      <c r="B27" s="39" t="s">
        <v>59</v>
      </c>
      <c r="C27" s="40" t="s">
        <v>76</v>
      </c>
      <c r="D27" s="8">
        <v>130</v>
      </c>
      <c r="E27" s="10">
        <v>25</v>
      </c>
      <c r="F27" s="40" t="s">
        <v>13</v>
      </c>
      <c r="G27" s="41" t="str">
        <f t="shared" si="0"/>
        <v>Standard Price</v>
      </c>
      <c r="H27" s="8" t="str">
        <f t="shared" si="1"/>
        <v>03</v>
      </c>
      <c r="I27" s="8" t="str">
        <f t="shared" si="2"/>
        <v>CA</v>
      </c>
      <c r="J27" s="11" t="str">
        <f t="shared" si="3"/>
        <v>JUN</v>
      </c>
    </row>
    <row r="28" spans="1:10" ht="14.25" x14ac:dyDescent="0.2">
      <c r="A28" s="9" t="s">
        <v>77</v>
      </c>
      <c r="B28" s="39" t="s">
        <v>32</v>
      </c>
      <c r="C28" s="40" t="s">
        <v>78</v>
      </c>
      <c r="D28" s="8">
        <v>400</v>
      </c>
      <c r="E28" s="10">
        <v>40</v>
      </c>
      <c r="F28" s="40" t="s">
        <v>17</v>
      </c>
      <c r="G28" s="41" t="str">
        <f t="shared" si="0"/>
        <v>Standard Price</v>
      </c>
      <c r="H28" s="8" t="str">
        <f t="shared" si="1"/>
        <v>11</v>
      </c>
      <c r="I28" s="8" t="str">
        <f t="shared" si="2"/>
        <v>CA</v>
      </c>
      <c r="J28" s="11" t="str">
        <f t="shared" si="3"/>
        <v>JUL</v>
      </c>
    </row>
    <row r="29" spans="1:10" ht="14.25" x14ac:dyDescent="0.2">
      <c r="A29" s="9" t="s">
        <v>48</v>
      </c>
      <c r="B29" s="39" t="s">
        <v>26</v>
      </c>
      <c r="C29" s="40" t="s">
        <v>49</v>
      </c>
      <c r="D29" s="8">
        <v>230</v>
      </c>
      <c r="E29" s="10">
        <v>20</v>
      </c>
      <c r="F29" s="40" t="s">
        <v>9</v>
      </c>
      <c r="G29" s="41" t="str">
        <f t="shared" si="0"/>
        <v>Standard Price</v>
      </c>
      <c r="H29" s="8" t="str">
        <f t="shared" si="1"/>
        <v>16</v>
      </c>
      <c r="I29" s="8" t="str">
        <f t="shared" si="2"/>
        <v>ES</v>
      </c>
      <c r="J29" s="11" t="str">
        <f t="shared" si="3"/>
        <v>APR</v>
      </c>
    </row>
    <row r="30" spans="1:10" ht="14.25" x14ac:dyDescent="0.2">
      <c r="A30" s="9" t="s">
        <v>79</v>
      </c>
      <c r="B30" s="39" t="s">
        <v>80</v>
      </c>
      <c r="C30" s="40" t="s">
        <v>81</v>
      </c>
      <c r="D30" s="8">
        <v>60</v>
      </c>
      <c r="E30" s="10">
        <v>30</v>
      </c>
      <c r="F30" s="40" t="s">
        <v>13</v>
      </c>
      <c r="G30" s="41" t="str">
        <f t="shared" si="0"/>
        <v>Standard Price</v>
      </c>
      <c r="H30" s="8" t="str">
        <f t="shared" si="1"/>
        <v>07</v>
      </c>
      <c r="I30" s="8" t="str">
        <f t="shared" si="2"/>
        <v>CA</v>
      </c>
      <c r="J30" s="11" t="str">
        <f t="shared" si="3"/>
        <v>MAR</v>
      </c>
    </row>
    <row r="31" spans="1:10" ht="14.25" x14ac:dyDescent="0.2">
      <c r="A31" s="9" t="s">
        <v>82</v>
      </c>
      <c r="B31" s="39" t="s">
        <v>83</v>
      </c>
      <c r="C31" s="40" t="s">
        <v>84</v>
      </c>
      <c r="D31" s="8">
        <v>40</v>
      </c>
      <c r="E31" s="10">
        <v>10</v>
      </c>
      <c r="F31" s="40" t="s">
        <v>17</v>
      </c>
      <c r="G31" s="41" t="str">
        <f t="shared" si="0"/>
        <v>Standard Price</v>
      </c>
      <c r="H31" s="8" t="str">
        <f t="shared" si="1"/>
        <v>13</v>
      </c>
      <c r="I31" s="8" t="str">
        <f t="shared" si="2"/>
        <v>CA</v>
      </c>
      <c r="J31" s="11" t="str">
        <f t="shared" si="3"/>
        <v>APR</v>
      </c>
    </row>
    <row r="32" spans="1:10" ht="14.25" x14ac:dyDescent="0.2">
      <c r="A32" s="9" t="s">
        <v>85</v>
      </c>
      <c r="B32" s="39" t="s">
        <v>71</v>
      </c>
      <c r="C32" s="40" t="s">
        <v>86</v>
      </c>
      <c r="D32" s="8">
        <v>130</v>
      </c>
      <c r="E32" s="10">
        <v>5</v>
      </c>
      <c r="F32" s="40" t="s">
        <v>9</v>
      </c>
      <c r="G32" s="41" t="str">
        <f t="shared" si="0"/>
        <v>Standard Price</v>
      </c>
      <c r="H32" s="8" t="str">
        <f t="shared" si="1"/>
        <v>24</v>
      </c>
      <c r="I32" s="8" t="str">
        <f t="shared" si="2"/>
        <v>CA</v>
      </c>
      <c r="J32" s="11" t="str">
        <f t="shared" si="3"/>
        <v>MAY</v>
      </c>
    </row>
    <row r="33" spans="1:12" ht="14.25" x14ac:dyDescent="0.2">
      <c r="A33" s="9" t="s">
        <v>87</v>
      </c>
      <c r="B33" s="39" t="s">
        <v>88</v>
      </c>
      <c r="C33" s="40" t="s">
        <v>89</v>
      </c>
      <c r="D33" s="8">
        <v>50</v>
      </c>
      <c r="E33" s="10">
        <v>50</v>
      </c>
      <c r="F33" s="40" t="s">
        <v>13</v>
      </c>
      <c r="G33" s="41" t="str">
        <f t="shared" si="0"/>
        <v>Standard Price</v>
      </c>
      <c r="H33" s="8" t="str">
        <f t="shared" si="1"/>
        <v>02</v>
      </c>
      <c r="I33" s="8" t="str">
        <f t="shared" si="2"/>
        <v>CA</v>
      </c>
      <c r="J33" s="11" t="str">
        <f t="shared" si="3"/>
        <v>DEC</v>
      </c>
    </row>
    <row r="34" spans="1:12" ht="14.25" x14ac:dyDescent="0.2">
      <c r="A34" s="9" t="s">
        <v>40</v>
      </c>
      <c r="B34" s="39" t="s">
        <v>7</v>
      </c>
      <c r="C34" s="40" t="s">
        <v>41</v>
      </c>
      <c r="D34" s="8">
        <v>950</v>
      </c>
      <c r="E34" s="10">
        <v>25</v>
      </c>
      <c r="F34" s="40" t="s">
        <v>9</v>
      </c>
      <c r="G34" s="41" t="str">
        <f t="shared" si="0"/>
        <v>High Price</v>
      </c>
      <c r="H34" s="8" t="str">
        <f t="shared" si="1"/>
        <v>17</v>
      </c>
      <c r="I34" s="8" t="str">
        <f t="shared" si="2"/>
        <v>IN</v>
      </c>
      <c r="J34" s="11" t="str">
        <f t="shared" si="3"/>
        <v>JUN</v>
      </c>
    </row>
    <row r="35" spans="1:12" ht="14.25" x14ac:dyDescent="0.2">
      <c r="A35" s="9" t="s">
        <v>90</v>
      </c>
      <c r="B35" s="39" t="s">
        <v>91</v>
      </c>
      <c r="C35" s="40" t="s">
        <v>92</v>
      </c>
      <c r="D35" s="8">
        <v>100</v>
      </c>
      <c r="E35" s="10">
        <v>20</v>
      </c>
      <c r="F35" s="40" t="s">
        <v>53</v>
      </c>
      <c r="G35" s="41" t="str">
        <f t="shared" si="0"/>
        <v>Standard Price</v>
      </c>
      <c r="H35" s="8" t="str">
        <f t="shared" si="1"/>
        <v>09</v>
      </c>
      <c r="I35" s="8" t="str">
        <f t="shared" si="2"/>
        <v>FR</v>
      </c>
      <c r="J35" s="11" t="str">
        <f t="shared" si="3"/>
        <v>JUL</v>
      </c>
    </row>
    <row r="36" spans="1:12" x14ac:dyDescent="0.2">
      <c r="G36" s="6"/>
    </row>
    <row r="37" spans="1:12" x14ac:dyDescent="0.2">
      <c r="I37" s="13"/>
    </row>
    <row r="38" spans="1:12" ht="14.25" x14ac:dyDescent="0.2">
      <c r="A38" s="37" t="s">
        <v>97</v>
      </c>
      <c r="B38" s="37"/>
      <c r="C38" s="25">
        <f>SUM(D2:D35)</f>
        <v>10100</v>
      </c>
      <c r="F38" s="28"/>
      <c r="G38" s="29" t="s">
        <v>104</v>
      </c>
      <c r="H38" s="30"/>
      <c r="I38" s="31"/>
      <c r="J38" s="32"/>
    </row>
    <row r="39" spans="1:12" ht="14.25" x14ac:dyDescent="0.2">
      <c r="A39" s="24" t="s">
        <v>99</v>
      </c>
      <c r="B39" s="24"/>
      <c r="C39" s="25">
        <f>COUNTA(B2:B35)</f>
        <v>34</v>
      </c>
      <c r="F39" s="34" t="s">
        <v>105</v>
      </c>
      <c r="G39" s="35"/>
      <c r="H39" s="35"/>
      <c r="I39" s="35"/>
      <c r="J39" s="36"/>
      <c r="K39" s="14"/>
      <c r="L39" s="13"/>
    </row>
    <row r="40" spans="1:12" x14ac:dyDescent="0.2">
      <c r="A40" s="24" t="s">
        <v>98</v>
      </c>
      <c r="B40" s="24"/>
      <c r="C40" s="25">
        <f>AVERAGE(D2:D35)</f>
        <v>297.05882352941177</v>
      </c>
      <c r="F40" s="21" t="s">
        <v>106</v>
      </c>
      <c r="G40" s="22"/>
      <c r="H40" s="22"/>
      <c r="I40" s="22"/>
      <c r="J40" s="17"/>
      <c r="K40" s="14"/>
      <c r="L40" s="13"/>
    </row>
    <row r="41" spans="1:12" x14ac:dyDescent="0.2">
      <c r="A41" s="24" t="s">
        <v>100</v>
      </c>
      <c r="B41" s="24"/>
      <c r="C41" s="25">
        <f>MIN(D2:D35)</f>
        <v>30</v>
      </c>
      <c r="D41" s="15"/>
      <c r="E41" s="7"/>
      <c r="F41" s="21" t="s">
        <v>107</v>
      </c>
      <c r="G41" s="22"/>
      <c r="H41" s="22"/>
      <c r="I41" s="22"/>
      <c r="J41" s="23"/>
      <c r="K41" s="14"/>
      <c r="L41" s="13"/>
    </row>
    <row r="42" spans="1:12" x14ac:dyDescent="0.2">
      <c r="A42" s="24" t="s">
        <v>101</v>
      </c>
      <c r="B42" s="24"/>
      <c r="C42" s="25">
        <f>MAX(D2:D35)</f>
        <v>1000</v>
      </c>
      <c r="F42" s="21" t="s">
        <v>108</v>
      </c>
      <c r="G42" s="22"/>
      <c r="H42" s="22"/>
      <c r="I42" s="14"/>
      <c r="J42" s="17"/>
      <c r="K42" s="14"/>
      <c r="L42" s="13"/>
    </row>
    <row r="43" spans="1:12" x14ac:dyDescent="0.2">
      <c r="A43" s="24" t="s">
        <v>102</v>
      </c>
      <c r="B43" s="24"/>
      <c r="C43" s="25">
        <f>SUMIF(F2:F35, "Electronics", D2:D35)</f>
        <v>8050</v>
      </c>
      <c r="F43" s="21" t="s">
        <v>109</v>
      </c>
      <c r="G43" s="22"/>
      <c r="H43" s="22"/>
      <c r="I43" s="22"/>
      <c r="J43" s="17"/>
      <c r="K43" s="14"/>
      <c r="L43" s="13"/>
    </row>
    <row r="44" spans="1:12" x14ac:dyDescent="0.2">
      <c r="A44" s="24" t="s">
        <v>103</v>
      </c>
      <c r="B44" s="24"/>
      <c r="C44" s="25">
        <f>COUNTIF(D2:D35, "&lt;100")</f>
        <v>11</v>
      </c>
      <c r="F44" s="16" t="s">
        <v>110</v>
      </c>
      <c r="G44" s="14"/>
      <c r="H44" s="14"/>
      <c r="I44" s="14"/>
      <c r="J44" s="17"/>
      <c r="K44" s="14"/>
      <c r="L44" s="13"/>
    </row>
    <row r="45" spans="1:12" x14ac:dyDescent="0.2">
      <c r="E45" s="7"/>
      <c r="F45" s="18" t="s">
        <v>111</v>
      </c>
      <c r="G45" s="19"/>
      <c r="H45" s="19"/>
      <c r="I45" s="19"/>
      <c r="J45" s="20"/>
      <c r="K45" s="7"/>
    </row>
    <row r="46" spans="1:12" x14ac:dyDescent="0.2">
      <c r="F46" s="12"/>
      <c r="G46" s="12"/>
      <c r="H46" s="12"/>
      <c r="I46" s="12"/>
      <c r="J46" s="12"/>
    </row>
    <row r="48" spans="1:12" ht="14.25" x14ac:dyDescent="0.2">
      <c r="E48" s="33"/>
    </row>
  </sheetData>
  <mergeCells count="13">
    <mergeCell ref="F39:J39"/>
    <mergeCell ref="F40:I40"/>
    <mergeCell ref="F41:J41"/>
    <mergeCell ref="F42:H42"/>
    <mergeCell ref="F43:I43"/>
    <mergeCell ref="G38:H38"/>
    <mergeCell ref="A43:B43"/>
    <mergeCell ref="A44:B44"/>
    <mergeCell ref="A38:B38"/>
    <mergeCell ref="A39:B39"/>
    <mergeCell ref="A40:B40"/>
    <mergeCell ref="A41:B41"/>
    <mergeCell ref="A42:B4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2026-09-21T11:50:38Z</dcterms:modified>
</cp:coreProperties>
</file>